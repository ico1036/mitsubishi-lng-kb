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연결순이익_추이" sheetId="1" state="visible" r:id="rId3"/>
    <sheet name="EE_세그먼트" sheetId="2" state="visible" r:id="rId4"/>
    <sheet name="발표_포인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<sst xmlns="http://schemas.openxmlformats.org/spreadsheetml/2006/main" count="97" uniqueCount="93">
  <si>
    <t xml:space="preserve">미쓰비시 상사 (8058.T) — 연결 순이익 추이 (공식 IR 자료 기준)</t>
  </si>
  <si>
    <t xml:space="preserve">단위: 억엔 / 순이익 = 지배주주귀속 순이익 / FY = 일본 회계연도 (4월~익년 3월) / 출처: 미쓰비시상사 공식 Flash Report (IR)</t>
  </si>
  <si>
    <t xml:space="preserve">회계연도</t>
  </si>
  <si>
    <t xml:space="preserve">순이익 (억엔)</t>
  </si>
  <si>
    <t xml:space="preserve">전년대비</t>
  </si>
  <si>
    <t xml:space="preserve">비고</t>
  </si>
  <si>
    <t xml:space="preserve">출처</t>
  </si>
  <si>
    <t xml:space="preserve">FY2016
(Mar 2017)</t>
  </si>
  <si>
    <t xml:space="preserve">자원가격 회복 초기</t>
  </si>
  <si>
    <r>
      <rPr>
        <sz val="9"/>
        <color rgb="FF666666"/>
        <rFont val="Arial"/>
        <family val="0"/>
        <charset val="1"/>
      </rPr>
      <t xml:space="preserve">Flash Report FY2017 </t>
    </r>
    <r>
      <rPr>
        <sz val="9"/>
        <color rgb="FF666666"/>
        <rFont val="Noto Sans CJK SC"/>
        <family val="2"/>
      </rPr>
      <t xml:space="preserve">전년비교치</t>
    </r>
  </si>
  <si>
    <t xml:space="preserve">FY2017
(Mar 2018)</t>
  </si>
  <si>
    <r>
      <rPr>
        <sz val="10"/>
        <rFont val="Arial"/>
        <family val="0"/>
        <charset val="1"/>
      </rPr>
      <t xml:space="preserve">LNG·</t>
    </r>
    <r>
      <rPr>
        <sz val="10"/>
        <rFont val="Noto Sans CJK SC"/>
        <family val="2"/>
      </rPr>
      <t xml:space="preserve">자원 호조</t>
    </r>
  </si>
  <si>
    <r>
      <rPr>
        <sz val="9"/>
        <color rgb="FF666666"/>
        <rFont val="Arial"/>
        <family val="0"/>
        <charset val="1"/>
      </rPr>
      <t xml:space="preserve">Flash Report FY2018 </t>
    </r>
    <r>
      <rPr>
        <sz val="9"/>
        <color rgb="FF666666"/>
        <rFont val="Noto Sans CJK SC"/>
        <family val="2"/>
      </rPr>
      <t xml:space="preserve">전년비교치</t>
    </r>
  </si>
  <si>
    <t xml:space="preserve">FY2018
(Mar 2019)</t>
  </si>
  <si>
    <t xml:space="preserve">자원가격 강세</t>
  </si>
  <si>
    <r>
      <rPr>
        <sz val="9"/>
        <color rgb="FF666666"/>
        <rFont val="Arial"/>
        <family val="0"/>
        <charset val="1"/>
      </rPr>
      <t xml:space="preserve">Flash Report FY2019 </t>
    </r>
    <r>
      <rPr>
        <sz val="9"/>
        <color rgb="FF666666"/>
        <rFont val="Noto Sans CJK SC"/>
        <family val="2"/>
      </rPr>
      <t xml:space="preserve">전년비교치</t>
    </r>
  </si>
  <si>
    <t xml:space="preserve">FY2019
(Mar 2020)</t>
  </si>
  <si>
    <r>
      <rPr>
        <sz val="10"/>
        <rFont val="Arial"/>
        <family val="0"/>
        <charset val="1"/>
      </rPr>
      <t xml:space="preserve">COVID-19 </t>
    </r>
    <r>
      <rPr>
        <sz val="10"/>
        <rFont val="Noto Sans CJK SC"/>
        <family val="2"/>
      </rPr>
      <t xml:space="preserve">충격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자원가격 폭락</t>
    </r>
  </si>
  <si>
    <r>
      <rPr>
        <sz val="9"/>
        <color rgb="FF666666"/>
        <rFont val="Arial"/>
        <family val="0"/>
        <charset val="1"/>
      </rPr>
      <t xml:space="preserve">Flash Report FY2021 </t>
    </r>
    <r>
      <rPr>
        <sz val="9"/>
        <color rgb="FF666666"/>
        <rFont val="Noto Sans CJK SC"/>
        <family val="2"/>
      </rPr>
      <t xml:space="preserve">확인</t>
    </r>
  </si>
  <si>
    <t xml:space="preserve">FY2020
(Mar 2021)</t>
  </si>
  <si>
    <r>
      <rPr>
        <sz val="10"/>
        <rFont val="Arial"/>
        <family val="0"/>
        <charset val="1"/>
      </rPr>
      <t xml:space="preserve">COVID </t>
    </r>
    <r>
      <rPr>
        <sz val="10"/>
        <rFont val="Noto Sans CJK SC"/>
        <family val="2"/>
      </rPr>
      <t xml:space="preserve">저점</t>
    </r>
  </si>
  <si>
    <r>
      <rPr>
        <sz val="9"/>
        <color rgb="FF666666"/>
        <rFont val="Arial"/>
        <family val="0"/>
        <charset val="1"/>
      </rPr>
      <t xml:space="preserve">Flash Report FY2021 </t>
    </r>
    <r>
      <rPr>
        <sz val="9"/>
        <color rgb="FF666666"/>
        <rFont val="Noto Sans CJK SC"/>
        <family val="2"/>
      </rPr>
      <t xml:space="preserve">직접 확인 ✓</t>
    </r>
  </si>
  <si>
    <t xml:space="preserve">FY2021
(Mar 2022)</t>
  </si>
  <si>
    <t xml:space="preserve">에너지·자원 슈퍼사이클</t>
  </si>
  <si>
    <r>
      <rPr>
        <sz val="9"/>
        <color rgb="FF666666"/>
        <rFont val="Arial"/>
        <family val="0"/>
        <charset val="1"/>
      </rPr>
      <t xml:space="preserve">Flash Report FY2022 </t>
    </r>
    <r>
      <rPr>
        <sz val="9"/>
        <color rgb="FF666666"/>
        <rFont val="Noto Sans CJK SC"/>
        <family val="2"/>
      </rPr>
      <t xml:space="preserve">직접 확인 ✓</t>
    </r>
  </si>
  <si>
    <t xml:space="preserve">FY2022
(Mar 2023)</t>
  </si>
  <si>
    <t xml:space="preserve">역대 최고치</t>
  </si>
  <si>
    <r>
      <rPr>
        <sz val="9"/>
        <color rgb="FF666666"/>
        <rFont val="Arial"/>
        <family val="0"/>
        <charset val="1"/>
      </rPr>
      <t xml:space="preserve">AFR2025 </t>
    </r>
    <r>
      <rPr>
        <sz val="9"/>
        <color rgb="FF666666"/>
        <rFont val="Noto Sans CJK SC"/>
        <family val="2"/>
      </rPr>
      <t xml:space="preserve">직접 확인 ✓</t>
    </r>
  </si>
  <si>
    <t xml:space="preserve">FY2023
(Mar 2024)</t>
  </si>
  <si>
    <t xml:space="preserve">에너지가격 하락 정상화</t>
  </si>
  <si>
    <t xml:space="preserve">FY2024
(Mar 2025)</t>
  </si>
  <si>
    <t xml:space="preserve">셰일가스 가격 하락</t>
  </si>
  <si>
    <t xml:space="preserve">FY2025
(Mar 2026)</t>
  </si>
  <si>
    <r>
      <rPr>
        <sz val="10"/>
        <rFont val="Arial"/>
        <family val="0"/>
        <charset val="1"/>
      </rPr>
      <t xml:space="preserve">LNG Canada </t>
    </r>
    <r>
      <rPr>
        <sz val="10"/>
        <rFont val="Noto Sans CJK SC"/>
        <family val="2"/>
      </rPr>
      <t xml:space="preserve">생산개시 비용 증가</t>
    </r>
  </si>
  <si>
    <r>
      <rPr>
        <sz val="9"/>
        <color rgb="FF666666"/>
        <rFont val="Arial"/>
        <family val="0"/>
        <charset val="1"/>
      </rPr>
      <t xml:space="preserve">Flash Report FY2026 </t>
    </r>
    <r>
      <rPr>
        <sz val="9"/>
        <color rgb="FF666666"/>
        <rFont val="Noto Sans CJK SC"/>
        <family val="2"/>
      </rPr>
      <t xml:space="preserve">직접 확인 ✓</t>
    </r>
  </si>
  <si>
    <r>
      <rPr>
        <i val="true"/>
        <sz val="8"/>
        <color rgb="FFCC0000"/>
        <rFont val="Arial"/>
        <family val="0"/>
        <charset val="1"/>
      </rPr>
      <t xml:space="preserve">※ FY2016~FY2018 </t>
    </r>
    <r>
      <rPr>
        <i val="true"/>
        <sz val="8"/>
        <color rgb="FFCC0000"/>
        <rFont val="Noto Sans CJK SC"/>
        <family val="2"/>
      </rPr>
      <t xml:space="preserve">수치는 각 연도 </t>
    </r>
    <r>
      <rPr>
        <i val="true"/>
        <sz val="8"/>
        <color rgb="FFCC0000"/>
        <rFont val="Arial"/>
        <family val="0"/>
        <charset val="1"/>
      </rPr>
      <t xml:space="preserve">Flash Report </t>
    </r>
    <r>
      <rPr>
        <i val="true"/>
        <sz val="8"/>
        <color rgb="FFCC0000"/>
        <rFont val="Noto Sans CJK SC"/>
        <family val="2"/>
      </rPr>
      <t xml:space="preserve">전년비교치에서 역산한 값으로 </t>
    </r>
    <r>
      <rPr>
        <i val="true"/>
        <sz val="8"/>
        <color rgb="FFCC0000"/>
        <rFont val="Arial"/>
        <family val="0"/>
        <charset val="1"/>
      </rPr>
      <t xml:space="preserve">±5% </t>
    </r>
    <r>
      <rPr>
        <i val="true"/>
        <sz val="8"/>
        <color rgb="FFCC0000"/>
        <rFont val="Noto Sans CJK SC"/>
        <family val="2"/>
      </rPr>
      <t xml:space="preserve">오차 가능</t>
    </r>
    <r>
      <rPr>
        <i val="true"/>
        <sz val="8"/>
        <color rgb="FFCC0000"/>
        <rFont val="Arial"/>
        <family val="0"/>
        <charset val="1"/>
      </rPr>
      <t xml:space="preserve">. FY2019~FY2025</t>
    </r>
    <r>
      <rPr>
        <i val="true"/>
        <sz val="8"/>
        <color rgb="FFCC0000"/>
        <rFont val="Noto Sans CJK SC"/>
        <family val="2"/>
      </rPr>
      <t xml:space="preserve">는 공식 확인</t>
    </r>
    <r>
      <rPr>
        <i val="true"/>
        <sz val="8"/>
        <color rgb="FFCC0000"/>
        <rFont val="Arial"/>
        <family val="0"/>
        <charset val="1"/>
      </rPr>
      <t xml:space="preserve">.</t>
    </r>
  </si>
  <si>
    <r>
      <rPr>
        <b val="true"/>
        <sz val="12"/>
        <color rgb="FF1F3864"/>
        <rFont val="Arial"/>
        <family val="0"/>
        <charset val="1"/>
      </rPr>
      <t xml:space="preserve">Environmental Energy </t>
    </r>
    <r>
      <rPr>
        <b val="true"/>
        <sz val="12"/>
        <color rgb="FF1F3864"/>
        <rFont val="Noto Sans CJK SC"/>
        <family val="2"/>
      </rPr>
      <t xml:space="preserve">세그먼트 순이익 </t>
    </r>
    <r>
      <rPr>
        <b val="true"/>
        <sz val="12"/>
        <color rgb="FF1F3864"/>
        <rFont val="Arial"/>
        <family val="0"/>
        <charset val="1"/>
      </rPr>
      <t xml:space="preserve">&amp; LNG </t>
    </r>
    <r>
      <rPr>
        <b val="true"/>
        <sz val="12"/>
        <color rgb="FF1F3864"/>
        <rFont val="Noto Sans CJK SC"/>
        <family val="2"/>
      </rPr>
      <t xml:space="preserve">자산 </t>
    </r>
    <r>
      <rPr>
        <b val="true"/>
        <sz val="12"/>
        <color rgb="FF1F3864"/>
        <rFont val="Arial"/>
        <family val="0"/>
        <charset val="1"/>
      </rPr>
      <t xml:space="preserve">(AFR2025 </t>
    </r>
    <r>
      <rPr>
        <b val="true"/>
        <sz val="12"/>
        <color rgb="FF1F3864"/>
        <rFont val="Noto Sans CJK SC"/>
        <family val="2"/>
      </rPr>
      <t xml:space="preserve">직접 확인</t>
    </r>
    <r>
      <rPr>
        <b val="true"/>
        <sz val="12"/>
        <color rgb="FF1F3864"/>
        <rFont val="Arial"/>
        <family val="0"/>
        <charset val="1"/>
      </rPr>
      <t xml:space="preserve">)</t>
    </r>
  </si>
  <si>
    <t xml:space="preserve">항목</t>
  </si>
  <si>
    <t xml:space="preserve">FY2023</t>
  </si>
  <si>
    <t xml:space="preserve">FY2024</t>
  </si>
  <si>
    <t xml:space="preserve">FY2025</t>
  </si>
  <si>
    <t xml:space="preserve">변화(FY24→25)</t>
  </si>
  <si>
    <t xml:space="preserve">연결순이익 (억엔)</t>
  </si>
  <si>
    <t xml:space="preserve">전사 실적 (지배주주 귀속)</t>
  </si>
  <si>
    <r>
      <rPr>
        <sz val="10"/>
        <rFont val="Arial"/>
        <family val="0"/>
        <charset val="1"/>
      </rPr>
      <t xml:space="preserve">EE </t>
    </r>
    <r>
      <rPr>
        <sz val="10"/>
        <rFont val="Noto Sans CJK SC"/>
        <family val="2"/>
      </rPr>
      <t xml:space="preserve">세그먼트 순이익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억엔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</si>
  <si>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LNG+</t>
    </r>
    <r>
      <rPr>
        <sz val="10"/>
        <rFont val="Noto Sans CJK SC"/>
        <family val="2"/>
      </rPr>
      <t xml:space="preserve">셰일 사업 총합</t>
    </r>
  </si>
  <si>
    <r>
      <rPr>
        <sz val="10"/>
        <rFont val="Arial"/>
        <family val="0"/>
        <charset val="1"/>
      </rPr>
      <t xml:space="preserve">EE </t>
    </r>
    <r>
      <rPr>
        <sz val="10"/>
        <rFont val="Noto Sans CJK SC"/>
        <family val="2"/>
      </rPr>
      <t xml:space="preserve">지분법이익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억엔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</si>
  <si>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LNG </t>
    </r>
    <r>
      <rPr>
        <sz val="10"/>
        <rFont val="Noto Sans CJK SC"/>
        <family val="2"/>
      </rPr>
      <t xml:space="preserve">프로젝트 지분에서 발생</t>
    </r>
  </si>
  <si>
    <r>
      <rPr>
        <b val="true"/>
        <sz val="10"/>
        <color rgb="FF1F3864"/>
        <rFont val="Arial"/>
        <family val="0"/>
        <charset val="1"/>
      </rPr>
      <t xml:space="preserve">▼ LNG+</t>
    </r>
    <r>
      <rPr>
        <b val="true"/>
        <sz val="10"/>
        <color rgb="FF1F3864"/>
        <rFont val="Noto Sans CJK SC"/>
        <family val="2"/>
      </rPr>
      <t xml:space="preserve">셰일 투자 자산 구성 </t>
    </r>
    <r>
      <rPr>
        <b val="true"/>
        <sz val="10"/>
        <color rgb="FF1F3864"/>
        <rFont val="Arial"/>
        <family val="0"/>
        <charset val="1"/>
      </rPr>
      <t xml:space="preserve">(FY2025 </t>
    </r>
    <r>
      <rPr>
        <b val="true"/>
        <sz val="10"/>
        <color rgb="FF1F3864"/>
        <rFont val="Noto Sans CJK SC"/>
        <family val="2"/>
      </rPr>
      <t xml:space="preserve">기준</t>
    </r>
    <r>
      <rPr>
        <b val="true"/>
        <sz val="10"/>
        <color rgb="FF1F3864"/>
        <rFont val="Arial"/>
        <family val="0"/>
        <charset val="1"/>
      </rPr>
      <t xml:space="preserve">, </t>
    </r>
    <r>
      <rPr>
        <b val="true"/>
        <sz val="10"/>
        <color rgb="FF1F3864"/>
        <rFont val="Noto Sans CJK SC"/>
        <family val="2"/>
      </rPr>
      <t xml:space="preserve">억엔</t>
    </r>
    <r>
      <rPr>
        <b val="true"/>
        <sz val="10"/>
        <color rgb="FF1F3864"/>
        <rFont val="Arial"/>
        <family val="0"/>
        <charset val="1"/>
      </rPr>
      <t xml:space="preserve">)</t>
    </r>
  </si>
  <si>
    <t xml:space="preserve">자산 유형</t>
  </si>
  <si>
    <t xml:space="preserve">금액(억엔)</t>
  </si>
  <si>
    <t xml:space="preserve">비중</t>
  </si>
  <si>
    <r>
      <rPr>
        <sz val="10"/>
        <rFont val="Arial"/>
        <family val="0"/>
        <charset val="1"/>
      </rPr>
      <t xml:space="preserve">LNG</t>
    </r>
    <r>
      <rPr>
        <sz val="10"/>
        <rFont val="Noto Sans CJK SC"/>
        <family val="2"/>
      </rPr>
      <t xml:space="preserve">사업 지분법 투자</t>
    </r>
  </si>
  <si>
    <t xml:space="preserve">호주·말레이·브루나이·캐나다 LNG 프로젝트</t>
  </si>
  <si>
    <t xml:space="preserve">셰일가스 지분법 투자</t>
  </si>
  <si>
    <t xml:space="preserve">캐나다 Montney 셰일가스</t>
  </si>
  <si>
    <t xml:space="preserve">유형자산 (LNG 인프라)</t>
  </si>
  <si>
    <r>
      <rPr>
        <sz val="10"/>
        <rFont val="Arial"/>
        <family val="0"/>
        <charset val="1"/>
      </rPr>
      <t xml:space="preserve">LNG </t>
    </r>
    <r>
      <rPr>
        <sz val="10"/>
        <rFont val="Noto Sans CJK SC"/>
        <family val="2"/>
      </rPr>
      <t xml:space="preserve">플랜트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터미널 등</t>
    </r>
  </si>
  <si>
    <t xml:space="preserve">사용권자산</t>
  </si>
  <si>
    <r>
      <rPr>
        <sz val="10"/>
        <rFont val="Arial"/>
        <family val="0"/>
        <charset val="1"/>
      </rPr>
      <t xml:space="preserve">LNG Canada </t>
    </r>
    <r>
      <rPr>
        <sz val="10"/>
        <rFont val="Noto Sans CJK SC"/>
        <family val="2"/>
      </rPr>
      <t xml:space="preserve">파이프라인 리스</t>
    </r>
  </si>
  <si>
    <t xml:space="preserve">기타 금융자산</t>
  </si>
  <si>
    <r>
      <rPr>
        <sz val="10"/>
        <rFont val="Arial"/>
        <family val="0"/>
        <charset val="1"/>
      </rPr>
      <t xml:space="preserve">LNG </t>
    </r>
    <r>
      <rPr>
        <sz val="10"/>
        <rFont val="Noto Sans CJK SC"/>
        <family val="2"/>
      </rPr>
      <t xml:space="preserve">관련 상장주식 등</t>
    </r>
  </si>
  <si>
    <t xml:space="preserve">합계</t>
  </si>
  <si>
    <t xml:space="preserve">100.0%</t>
  </si>
  <si>
    <r>
      <rPr>
        <sz val="9"/>
        <color rgb="FFCC0000"/>
        <rFont val="Arial"/>
        <family val="0"/>
        <charset val="1"/>
      </rPr>
      <t xml:space="preserve">※ LNG Canada: </t>
    </r>
    <r>
      <rPr>
        <sz val="9"/>
        <color rgb="FFCC0000"/>
        <rFont val="Noto Sans CJK SC"/>
        <family val="2"/>
      </rPr>
      <t xml:space="preserve">생산능력 </t>
    </r>
    <r>
      <rPr>
        <sz val="9"/>
        <color rgb="FFCC0000"/>
        <rFont val="Arial"/>
        <family val="0"/>
        <charset val="1"/>
      </rPr>
      <t xml:space="preserve">1,400</t>
    </r>
    <r>
      <rPr>
        <sz val="9"/>
        <color rgb="FFCC0000"/>
        <rFont val="Noto Sans CJK SC"/>
        <family val="2"/>
      </rPr>
      <t xml:space="preserve">만톤</t>
    </r>
    <r>
      <rPr>
        <sz val="9"/>
        <color rgb="FFCC0000"/>
        <rFont val="Arial"/>
        <family val="0"/>
        <charset val="1"/>
      </rPr>
      <t xml:space="preserve">/</t>
    </r>
    <r>
      <rPr>
        <sz val="9"/>
        <color rgb="FFCC0000"/>
        <rFont val="Noto Sans CJK SC"/>
        <family val="2"/>
      </rPr>
      <t xml:space="preserve">년</t>
    </r>
    <r>
      <rPr>
        <sz val="9"/>
        <color rgb="FFCC0000"/>
        <rFont val="Arial"/>
        <family val="0"/>
        <charset val="1"/>
      </rPr>
      <t xml:space="preserve">, </t>
    </r>
    <r>
      <rPr>
        <sz val="9"/>
        <color rgb="FFCC0000"/>
        <rFont val="Noto Sans CJK SC"/>
        <family val="2"/>
      </rPr>
      <t xml:space="preserve">투자잔액 </t>
    </r>
    <r>
      <rPr>
        <sz val="9"/>
        <color rgb="FFCC0000"/>
        <rFont val="Arial"/>
        <family val="0"/>
        <charset val="1"/>
      </rPr>
      <t xml:space="preserve">4,098</t>
    </r>
    <r>
      <rPr>
        <sz val="9"/>
        <color rgb="FFCC0000"/>
        <rFont val="Noto Sans CJK SC"/>
        <family val="2"/>
      </rPr>
      <t xml:space="preserve">억엔</t>
    </r>
    <r>
      <rPr>
        <sz val="9"/>
        <color rgb="FFCC0000"/>
        <rFont val="Arial"/>
        <family val="0"/>
        <charset val="1"/>
      </rPr>
      <t xml:space="preserve">+</t>
    </r>
    <r>
      <rPr>
        <sz val="9"/>
        <color rgb="FFCC0000"/>
        <rFont val="Noto Sans CJK SC"/>
        <family val="2"/>
      </rPr>
      <t xml:space="preserve">대출잔액 </t>
    </r>
    <r>
      <rPr>
        <sz val="9"/>
        <color rgb="FFCC0000"/>
        <rFont val="Arial"/>
        <family val="0"/>
        <charset val="1"/>
      </rPr>
      <t xml:space="preserve">2,455</t>
    </r>
    <r>
      <rPr>
        <sz val="9"/>
        <color rgb="FFCC0000"/>
        <rFont val="Noto Sans CJK SC"/>
        <family val="2"/>
      </rPr>
      <t xml:space="preserve">억엔 </t>
    </r>
    <r>
      <rPr>
        <sz val="9"/>
        <color rgb="FFCC0000"/>
        <rFont val="Arial"/>
        <family val="0"/>
        <charset val="1"/>
      </rPr>
      <t xml:space="preserve">(FY2025)</t>
    </r>
  </si>
  <si>
    <t xml:space="preserve">출처: AFR2025 (Annual Financial Report 2025), Note 6, p.108</t>
  </si>
  <si>
    <t xml:space="preserve">■ 핵심 프레임</t>
  </si>
  <si>
    <t xml:space="preserve">한국 = 에너지를 소비하도록 설계된 나라 / 미쓰비시 = 에너지를 거래하는 주체</t>
  </si>
  <si>
    <r>
      <rPr>
        <b val="true"/>
        <sz val="10"/>
        <color rgb="FF2E75B6"/>
        <rFont val="Arial"/>
        <family val="0"/>
        <charset val="1"/>
      </rPr>
      <t xml:space="preserve">■ LNG </t>
    </r>
    <r>
      <rPr>
        <b val="true"/>
        <sz val="10"/>
        <color rgb="FF2E75B6"/>
        <rFont val="Noto Sans CJK SC"/>
        <family val="2"/>
      </rPr>
      <t xml:space="preserve">베타 — 숫자로 보기</t>
    </r>
  </si>
  <si>
    <r>
      <rPr>
        <sz val="10"/>
        <color rgb="FF000000"/>
        <rFont val="Arial"/>
        <family val="0"/>
        <charset val="1"/>
      </rPr>
      <t xml:space="preserve">FY2020: 1,726</t>
    </r>
    <r>
      <rPr>
        <sz val="10"/>
        <color rgb="FF000000"/>
        <rFont val="Noto Sans CJK SC"/>
        <family val="2"/>
      </rPr>
      <t xml:space="preserve">억엔 </t>
    </r>
    <r>
      <rPr>
        <sz val="10"/>
        <color rgb="FF000000"/>
        <rFont val="Arial"/>
        <family val="0"/>
        <charset val="1"/>
      </rPr>
      <t xml:space="preserve">(COVID </t>
    </r>
    <r>
      <rPr>
        <sz val="10"/>
        <color rgb="FF000000"/>
        <rFont val="Noto Sans CJK SC"/>
        <family val="2"/>
      </rPr>
      <t xml:space="preserve">충격</t>
    </r>
    <r>
      <rPr>
        <sz val="10"/>
        <color rgb="FF000000"/>
        <rFont val="Arial"/>
        <family val="0"/>
        <charset val="1"/>
      </rPr>
      <t xml:space="preserve">) → FY2021: 9,375</t>
    </r>
    <r>
      <rPr>
        <sz val="10"/>
        <color rgb="FF000000"/>
        <rFont val="Noto Sans CJK SC"/>
        <family val="2"/>
      </rPr>
      <t xml:space="preserve">억엔 → </t>
    </r>
    <r>
      <rPr>
        <sz val="10"/>
        <color rgb="FF000000"/>
        <rFont val="Arial"/>
        <family val="0"/>
        <charset val="1"/>
      </rPr>
      <t xml:space="preserve">FY2022: 9,376</t>
    </r>
    <r>
      <rPr>
        <sz val="10"/>
        <color rgb="FF000000"/>
        <rFont val="Noto Sans CJK SC"/>
        <family val="2"/>
      </rPr>
      <t xml:space="preserve">억엔 → </t>
    </r>
    <r>
      <rPr>
        <sz val="10"/>
        <color rgb="FF000000"/>
        <rFont val="Arial"/>
        <family val="0"/>
        <charset val="1"/>
      </rPr>
      <t xml:space="preserve">FY2022(Mar2023): 11,807</t>
    </r>
    <r>
      <rPr>
        <sz val="10"/>
        <color rgb="FF000000"/>
        <rFont val="Noto Sans CJK SC"/>
        <family val="2"/>
      </rPr>
      <t xml:space="preserve">억엔 역대 최고</t>
    </r>
  </si>
  <si>
    <t xml:space="preserve">단 3년 만에 순이익 6.8배 급등, 이후 하락 → LNG·자원 가격 베타가 얼마나 큰지 증명</t>
  </si>
  <si>
    <t xml:space="preserve">미쓰비시가 밸류체인 전체 통합(업스트림→액화→운반→트레이딩)으로 이 베타를 '내재화'한 이유</t>
  </si>
  <si>
    <t xml:space="preserve">■ 지분법이익의 의미</t>
  </si>
  <si>
    <r>
      <rPr>
        <sz val="10"/>
        <color rgb="FF000000"/>
        <rFont val="Arial"/>
        <family val="0"/>
        <charset val="1"/>
      </rPr>
      <t xml:space="preserve">FY2023 EE </t>
    </r>
    <r>
      <rPr>
        <sz val="10"/>
        <color rgb="FF000000"/>
        <rFont val="Noto Sans CJK SC"/>
        <family val="2"/>
      </rPr>
      <t xml:space="preserve">지분법이익 </t>
    </r>
    <r>
      <rPr>
        <sz val="10"/>
        <color rgb="FF000000"/>
        <rFont val="Arial"/>
        <family val="0"/>
        <charset val="1"/>
      </rPr>
      <t xml:space="preserve">2,485</t>
    </r>
    <r>
      <rPr>
        <sz val="10"/>
        <color rgb="FF000000"/>
        <rFont val="Noto Sans CJK SC"/>
        <family val="2"/>
      </rPr>
      <t xml:space="preserve">억엔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미쓰비시가 </t>
    </r>
    <r>
      <rPr>
        <sz val="10"/>
        <color rgb="FF000000"/>
        <rFont val="Arial"/>
        <family val="0"/>
        <charset val="1"/>
      </rPr>
      <t xml:space="preserve">LNG </t>
    </r>
    <r>
      <rPr>
        <sz val="10"/>
        <color rgb="FF000000"/>
        <rFont val="Noto Sans CJK SC"/>
        <family val="2"/>
      </rPr>
      <t xml:space="preserve">프로젝트 지분을 통해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앉아서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번 돈</t>
    </r>
  </si>
  <si>
    <t xml:space="preserve">한국 석유·가스공사는 이 구조 미비 → 가격 수취자 포지션에 머뭄</t>
  </si>
  <si>
    <t xml:space="preserve">■ 석유공사 90만 배럴 사건 (2026.03)</t>
  </si>
  <si>
    <t xml:space="preserve">산유국 A사가 울산 비축기지에 넣어둔 200만 배럴, 전쟁 발발 후 유가 급등하자 해외에 팔아버림</t>
  </si>
  <si>
    <t xml:space="preserve">석유공사가 우선매매권 적기 행사 실패 → 90만 배럴 동남아 유출</t>
  </si>
  <si>
    <t xml:space="preserve">아이러니: 이후 중동 산유국들이 한국 비축기지를 역외 거점으로 쓰겠다고 접촉 → 인프라는 있으나 권리가 없는 구조</t>
  </si>
  <si>
    <t xml:space="preserve">■ 버핏이 본 것</t>
  </si>
  <si>
    <r>
      <rPr>
        <sz val="10"/>
        <color rgb="FF000000"/>
        <rFont val="Arial"/>
        <family val="0"/>
        <charset val="1"/>
      </rPr>
      <t xml:space="preserve">Berkshire </t>
    </r>
    <r>
      <rPr>
        <sz val="10"/>
        <color rgb="FF000000"/>
        <rFont val="Noto Sans CJK SC"/>
        <family val="2"/>
      </rPr>
      <t xml:space="preserve">미쓰비시 지분 </t>
    </r>
    <r>
      <rPr>
        <sz val="10"/>
        <color rgb="FF000000"/>
        <rFont val="Arial"/>
        <family val="0"/>
        <charset val="1"/>
      </rPr>
      <t xml:space="preserve">10.23% (2025.08 </t>
    </r>
    <r>
      <rPr>
        <sz val="10"/>
        <color rgb="FF000000"/>
        <rFont val="Noto Sans CJK SC"/>
        <family val="2"/>
      </rPr>
      <t xml:space="preserve">기준</t>
    </r>
    <r>
      <rPr>
        <sz val="10"/>
        <color rgb="FF000000"/>
        <rFont val="Arial"/>
        <family val="0"/>
        <charset val="1"/>
      </rPr>
      <t xml:space="preserve">), '</t>
    </r>
    <r>
      <rPr>
        <sz val="10"/>
        <color rgb="FF000000"/>
        <rFont val="Noto Sans CJK SC"/>
        <family val="2"/>
      </rPr>
      <t xml:space="preserve">수십 년 팔지 않겠다</t>
    </r>
    <r>
      <rPr>
        <sz val="10"/>
        <color rgb="FF000000"/>
        <rFont val="Arial"/>
        <family val="0"/>
        <charset val="1"/>
      </rPr>
      <t xml:space="preserve">'</t>
    </r>
  </si>
  <si>
    <t xml:space="preserve">에너지 방향에 베팅한 게 아니라 에너지가 움직이는 것 자체에서 수수료 뽑는 구조를 산 것</t>
  </si>
  <si>
    <r>
      <rPr>
        <b val="true"/>
        <sz val="10"/>
        <color rgb="FF2E75B6"/>
        <rFont val="Arial"/>
        <family val="0"/>
        <charset val="1"/>
      </rPr>
      <t xml:space="preserve">■ Aethon </t>
    </r>
    <r>
      <rPr>
        <b val="true"/>
        <sz val="10"/>
        <color rgb="FF2E75B6"/>
        <rFont val="Noto Sans CJK SC"/>
        <family val="2"/>
      </rPr>
      <t xml:space="preserve">인수 </t>
    </r>
    <r>
      <rPr>
        <b val="true"/>
        <sz val="10"/>
        <color rgb="FF2E75B6"/>
        <rFont val="Arial"/>
        <family val="0"/>
        <charset val="1"/>
      </rPr>
      <t xml:space="preserve">(2026.01) — </t>
    </r>
    <r>
      <rPr>
        <b val="true"/>
        <sz val="10"/>
        <color rgb="FF2E75B6"/>
        <rFont val="Noto Sans CJK SC"/>
        <family val="2"/>
      </rPr>
      <t xml:space="preserve">왜 미국 셰일인가</t>
    </r>
    <r>
      <rPr>
        <b val="true"/>
        <sz val="10"/>
        <color rgb="FF2E75B6"/>
        <rFont val="Arial"/>
        <family val="0"/>
        <charset val="1"/>
      </rPr>
      <t xml:space="preserve">?</t>
    </r>
  </si>
  <si>
    <r>
      <rPr>
        <sz val="10"/>
        <color rgb="FF000000"/>
        <rFont val="Arial"/>
        <family val="0"/>
        <charset val="1"/>
      </rPr>
      <t xml:space="preserve">52</t>
    </r>
    <r>
      <rPr>
        <sz val="10"/>
        <color rgb="FF000000"/>
        <rFont val="Noto Sans CJK SC"/>
        <family val="2"/>
      </rPr>
      <t xml:space="preserve">억 달러</t>
    </r>
    <r>
      <rPr>
        <sz val="10"/>
        <color rgb="FF000000"/>
        <rFont val="Arial"/>
        <family val="0"/>
        <charset val="1"/>
      </rPr>
      <t xml:space="preserve">, Haynesville </t>
    </r>
    <r>
      <rPr>
        <sz val="10"/>
        <color rgb="FF000000"/>
        <rFont val="Noto Sans CJK SC"/>
        <family val="2"/>
      </rPr>
      <t xml:space="preserve">셰일가스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생산량 </t>
    </r>
    <r>
      <rPr>
        <sz val="10"/>
        <color rgb="FF000000"/>
        <rFont val="Arial"/>
        <family val="0"/>
        <charset val="1"/>
      </rPr>
      <t xml:space="preserve">2.1Bcf/</t>
    </r>
    <r>
      <rPr>
        <sz val="10"/>
        <color rgb="FF000000"/>
        <rFont val="Noto Sans CJK SC"/>
        <family val="2"/>
      </rPr>
      <t xml:space="preserve">일 </t>
    </r>
    <r>
      <rPr>
        <sz val="10"/>
        <color rgb="FF000000"/>
        <rFont val="Arial"/>
        <family val="0"/>
        <charset val="1"/>
      </rPr>
      <t xml:space="preserve">(LNG </t>
    </r>
    <r>
      <rPr>
        <sz val="10"/>
        <color rgb="FF000000"/>
        <rFont val="Noto Sans CJK SC"/>
        <family val="2"/>
      </rPr>
      <t xml:space="preserve">환산 약 </t>
    </r>
    <r>
      <rPr>
        <sz val="10"/>
        <color rgb="FF000000"/>
        <rFont val="Arial"/>
        <family val="0"/>
        <charset val="1"/>
      </rPr>
      <t xml:space="preserve">1,500</t>
    </r>
    <r>
      <rPr>
        <sz val="10"/>
        <color rgb="FF000000"/>
        <rFont val="Noto Sans CJK SC"/>
        <family val="2"/>
      </rPr>
      <t xml:space="preserve">만톤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</si>
  <si>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단순 공급 확대가 아니라 세 가지를 한 번에 잡은 전략적 선택</t>
    </r>
    <r>
      <rPr>
        <sz val="10"/>
        <color rgb="FF000000"/>
        <rFont val="Arial"/>
        <family val="0"/>
        <charset val="1"/>
      </rPr>
      <t xml:space="preserve">:</t>
    </r>
  </si>
  <si>
    <r>
      <rPr>
        <sz val="10"/>
        <color rgb="FF000000"/>
        <rFont val="Arial"/>
        <family val="0"/>
        <charset val="1"/>
      </rPr>
      <t xml:space="preserve">  1) </t>
    </r>
    <r>
      <rPr>
        <sz val="10"/>
        <color rgb="FF000000"/>
        <rFont val="Noto Sans CJK SC"/>
        <family val="2"/>
      </rPr>
      <t xml:space="preserve">공급 지정학 헤지 — 중동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호르무즈 의존 밸류체인에 미국이라는 정치적 앵커 추가</t>
    </r>
  </si>
  <si>
    <r>
      <rPr>
        <sz val="10"/>
        <color rgb="FF000000"/>
        <rFont val="Arial"/>
        <family val="0"/>
        <charset val="1"/>
      </rPr>
      <t xml:space="preserve">  2) AI </t>
    </r>
    <r>
      <rPr>
        <sz val="10"/>
        <color rgb="FF000000"/>
        <rFont val="Noto Sans CJK SC"/>
        <family val="2"/>
      </rPr>
      <t xml:space="preserve">전력 수요 — 발표문에 데이터센터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발전소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화학까지 연결하겠다고 명시</t>
    </r>
  </si>
  <si>
    <r>
      <rPr>
        <sz val="10"/>
        <color rgb="FF000000"/>
        <rFont val="Arial"/>
        <family val="0"/>
        <charset val="1"/>
      </rPr>
      <t xml:space="preserve">  3) </t>
    </r>
    <r>
      <rPr>
        <sz val="10"/>
        <color rgb="FF000000"/>
        <rFont val="Noto Sans CJK SC"/>
        <family val="2"/>
      </rPr>
      <t xml:space="preserve">미국 인쇼어링 기조 — 트럼프 정책 방향과 맞아떨어지는 타이밍</t>
    </r>
  </si>
  <si>
    <r>
      <rPr>
        <sz val="10"/>
        <color rgb="FFCC0000"/>
        <rFont val="Noto Sans CJK SC"/>
        <family val="2"/>
      </rPr>
      <t xml:space="preserve">→ 에너지 가격 방향에 베팅한 게 아니라</t>
    </r>
    <r>
      <rPr>
        <sz val="10"/>
        <color rgb="FFCC0000"/>
        <rFont val="Arial"/>
        <family val="0"/>
        <charset val="1"/>
      </rPr>
      <t xml:space="preserve">, </t>
    </r>
    <r>
      <rPr>
        <sz val="10"/>
        <color rgb="FFCC0000"/>
        <rFont val="Noto Sans CJK SC"/>
        <family val="2"/>
      </rPr>
      <t xml:space="preserve">에너지가 쓰이는 구조 자체에 투자한 것</t>
    </r>
  </si>
  <si>
    <t xml:space="preserve">■ 발표 클로징 제안</t>
  </si>
  <si>
    <r>
      <rPr>
        <sz val="10"/>
        <color rgb="FF888888"/>
        <rFont val="Arial"/>
        <family val="0"/>
        <charset val="1"/>
      </rPr>
      <t xml:space="preserve">'</t>
    </r>
    <r>
      <rPr>
        <sz val="10"/>
        <color rgb="FF888888"/>
        <rFont val="Noto Sans CJK SC"/>
        <family val="2"/>
      </rPr>
      <t xml:space="preserve">한국도 밸류체인 투자하자</t>
    </r>
    <r>
      <rPr>
        <sz val="10"/>
        <color rgb="FF888888"/>
        <rFont val="Arial"/>
        <family val="0"/>
        <charset val="1"/>
      </rPr>
      <t xml:space="preserve">' (X) — 70</t>
    </r>
    <r>
      <rPr>
        <sz val="10"/>
        <color rgb="FF888888"/>
        <rFont val="Noto Sans CJK SC"/>
        <family val="2"/>
      </rPr>
      <t xml:space="preserve">년대에 닫힌 문</t>
    </r>
    <r>
      <rPr>
        <sz val="10"/>
        <color rgb="FF888888"/>
        <rFont val="Arial"/>
        <family val="0"/>
        <charset val="1"/>
      </rPr>
      <t xml:space="preserve">, </t>
    </r>
    <r>
      <rPr>
        <sz val="10"/>
        <color rgb="FF888888"/>
        <rFont val="Noto Sans CJK SC"/>
        <family val="2"/>
      </rPr>
      <t xml:space="preserve">비전문가가 할 말 아님</t>
    </r>
  </si>
  <si>
    <r>
      <rPr>
        <sz val="10"/>
        <color rgb="FFCC0000"/>
        <rFont val="Arial"/>
        <family val="0"/>
        <charset val="1"/>
      </rPr>
      <t xml:space="preserve">'</t>
    </r>
    <r>
      <rPr>
        <sz val="10"/>
        <color rgb="FFCC0000"/>
        <rFont val="Noto Sans CJK SC"/>
        <family val="2"/>
      </rPr>
      <t xml:space="preserve">있는 걸 왜 못 쓰나</t>
    </r>
    <r>
      <rPr>
        <sz val="10"/>
        <color rgb="FFCC0000"/>
        <rFont val="Arial"/>
        <family val="0"/>
        <charset val="1"/>
      </rPr>
      <t xml:space="preserve">'</t>
    </r>
    <r>
      <rPr>
        <sz val="10"/>
        <color rgb="FFCC0000"/>
        <rFont val="Noto Sans CJK SC"/>
        <family val="2"/>
      </rPr>
      <t xml:space="preserve">를 묻는 것 </t>
    </r>
    <r>
      <rPr>
        <sz val="10"/>
        <color rgb="FFCC0000"/>
        <rFont val="Arial"/>
        <family val="0"/>
        <charset val="1"/>
      </rPr>
      <t xml:space="preserve">(O) — </t>
    </r>
    <r>
      <rPr>
        <sz val="10"/>
        <color rgb="FFCC0000"/>
        <rFont val="Noto Sans CJK SC"/>
        <family val="2"/>
      </rPr>
      <t xml:space="preserve">비축기지 인프라는 있는데 계약구조</t>
    </r>
    <r>
      <rPr>
        <sz val="10"/>
        <color rgb="FFCC0000"/>
        <rFont val="Arial"/>
        <family val="0"/>
        <charset val="1"/>
      </rPr>
      <t xml:space="preserve">·</t>
    </r>
    <r>
      <rPr>
        <sz val="10"/>
        <color rgb="FFCC0000"/>
        <rFont val="Noto Sans CJK SC"/>
        <family val="2"/>
      </rPr>
      <t xml:space="preserve">운용주체</t>
    </r>
    <r>
      <rPr>
        <sz val="10"/>
        <color rgb="FFCC0000"/>
        <rFont val="Arial"/>
        <family val="0"/>
        <charset val="1"/>
      </rPr>
      <t xml:space="preserve">·</t>
    </r>
    <r>
      <rPr>
        <sz val="10"/>
        <color rgb="FFCC0000"/>
        <rFont val="Noto Sans CJK SC"/>
        <family val="2"/>
      </rPr>
      <t xml:space="preserve">의사결정체계가 없었다</t>
    </r>
  </si>
  <si>
    <t xml:space="preserve">한국 에너지 전략의 질문은 무엇을 새로 만들 것인가가 아니라 가진 것을 누가 어떻게 운용할 것인가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</si>
</sst>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;\(0.0%\);\-"/>
    <numFmt numFmtId="167" formatCode="0.0%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Noto Sans CJK SC"/>
      <family val="2"/>
      <charset val="1"/>
    </font>
    <font>
      <i val="true"/>
      <sz val="9"/>
      <color rgb="FF666666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Noto Sans CJK SC"/>
      <family val="2"/>
      <charset val="1"/>
    </font>
    <font>
      <sz val="9"/>
      <color rgb="FF666666"/>
      <name val="Arial"/>
      <family val="0"/>
      <charset val="1"/>
    </font>
    <font>
      <sz val="9"/>
      <color rgb="FF666666"/>
      <name val="Noto Sans CJK SC"/>
      <family val="2"/>
    </font>
    <font>
      <sz val="10"/>
      <name val="Noto Sans CJK SC"/>
      <family val="2"/>
    </font>
    <font>
      <i val="true"/>
      <sz val="8"/>
      <color rgb="FFCC0000"/>
      <name val="Arial"/>
      <family val="0"/>
      <charset val="1"/>
    </font>
    <font>
      <i val="true"/>
      <sz val="8"/>
      <color rgb="FFCC0000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b val="true"/>
      <sz val="12"/>
      <color rgb="FF1F3864"/>
      <name val="Arial"/>
      <family val="0"/>
      <charset val="1"/>
    </font>
    <font>
      <b val="true"/>
      <sz val="12"/>
      <color rgb="FF1F3864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sz val="9"/>
      <color rgb="FFCC0000"/>
      <name val="Arial"/>
      <family val="0"/>
      <charset val="1"/>
    </font>
    <font>
      <sz val="9"/>
      <color rgb="FFCC0000"/>
      <name val="Noto Sans CJK SC"/>
      <family val="2"/>
    </font>
    <font>
      <i val="true"/>
      <sz val="8"/>
      <color rgb="FF888888"/>
      <name val="Noto Sans CJK SC"/>
      <family val="2"/>
      <charset val="1"/>
    </font>
    <font>
      <b val="true"/>
      <sz val="10"/>
      <color rgb="FF1F3864"/>
      <name val="Noto Sans CJK SC"/>
      <family val="2"/>
      <charset val="1"/>
    </font>
    <font>
      <sz val="10"/>
      <color rgb="FFCC0000"/>
      <name val="Noto Sans CJK SC"/>
      <family val="2"/>
      <charset val="1"/>
    </font>
    <font>
      <sz val="10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2E75B6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Noto Sans CJK SC"/>
      <family val="2"/>
      <charset val="1"/>
    </font>
    <font>
      <b val="true"/>
      <sz val="10"/>
      <color rgb="FF2E75B6"/>
      <name val="Noto Sans CJK SC"/>
      <family val="2"/>
      <charset val="1"/>
    </font>
    <font>
      <sz val="10"/>
      <color rgb="FFCC0000"/>
      <name val="Noto Sans CJK SC"/>
      <family val="2"/>
    </font>
    <font>
      <sz val="10"/>
      <color rgb="FFCC0000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888888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78787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66"/>
      <rgbColor rgb="FF888888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미쓰비시 상사 연결 순이익 추이 (FY2016–FY2025)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연결순이익_추이!B4</c:f>
              <c:strCache>
                <c:ptCount val="1"/>
                <c:pt idx="0">
                  <c:v>순이익 (억엔)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연결순이익_추이!$A$5:$A$14</c:f>
              <c:strCache>
                <c:ptCount val="10"/>
                <c:pt idx="0">
                  <c:v>FY2016
(Mar 2017)</c:v>
                </c:pt>
                <c:pt idx="1">
                  <c:v>FY2017
(Mar 2018)</c:v>
                </c:pt>
                <c:pt idx="2">
                  <c:v>FY2018
(Mar 2019)</c:v>
                </c:pt>
                <c:pt idx="3">
                  <c:v>FY2019
(Mar 2020)</c:v>
                </c:pt>
                <c:pt idx="4">
                  <c:v>FY2020
(Mar 2021)</c:v>
                </c:pt>
                <c:pt idx="5">
                  <c:v>FY2021
(Mar 2022)</c:v>
                </c:pt>
                <c:pt idx="6">
                  <c:v>FY2022
(Mar 2023)</c:v>
                </c:pt>
                <c:pt idx="7">
                  <c:v>FY2023
(Mar 2024)</c:v>
                </c:pt>
                <c:pt idx="8">
                  <c:v>FY2024
(Mar 2025)</c:v>
                </c:pt>
                <c:pt idx="9">
                  <c:v>FY2025
(Mar 2026)</c:v>
                </c:pt>
              </c:strCache>
            </c:strRef>
          </c:cat>
          <c:val>
            <c:numRef>
              <c:f>연결순이익_추이!$B$5:$B$14</c:f>
              <c:numCache>
                <c:formatCode>#,##0</c:formatCode>
                <c:ptCount val="10"/>
                <c:pt idx="0">
                  <c:v>4402</c:v>
                </c:pt>
                <c:pt idx="1">
                  <c:v>5602</c:v>
                </c:pt>
                <c:pt idx="2">
                  <c:v>5907</c:v>
                </c:pt>
                <c:pt idx="3">
                  <c:v>5353</c:v>
                </c:pt>
                <c:pt idx="4">
                  <c:v>1725</c:v>
                </c:pt>
                <c:pt idx="5">
                  <c:v>9375</c:v>
                </c:pt>
                <c:pt idx="6">
                  <c:v>11806</c:v>
                </c:pt>
                <c:pt idx="7">
                  <c:v>9640</c:v>
                </c:pt>
                <c:pt idx="8">
                  <c:v>9507</c:v>
                </c:pt>
                <c:pt idx="9">
                  <c:v>8004</c:v>
                </c:pt>
              </c:numCache>
            </c:numRef>
          </c:val>
        </c:ser>
        <c:gapWidth val="150"/>
        <c:overlap val="0"/>
        <c:axId val="65016082"/>
        <c:axId val="62458446"/>
      </c:barChart>
      <c:catAx>
        <c:axId val="650160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58446"/>
        <c:crosses val="autoZero"/>
        <c:auto val="1"/>
        <c:lblAlgn val="ctr"/>
        <c:lblOffset val="100"/>
        <c:noMultiLvlLbl val="0"/>
      </c:catAx>
      <c:valAx>
        <c:axId val="624584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순이익 (억엔)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160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10800</xdr:rowOff>
    </xdr:from>
    <xdr:to>
      <xdr:col>18</xdr:col>
      <xdr:colOff>581040</xdr:colOff>
      <xdr:row>23</xdr:row>
      <xdr:rowOff>136440</xdr:rowOff>
    </xdr:to>
    <xdr:graphicFrame>
      <xdr:nvGraphicFramePr>
        <xdr:cNvPr id="0" name="Chart 1"/>
        <xdr:cNvGraphicFramePr/>
      </xdr:nvGraphicFramePr>
      <xdr:xfrm>
        <a:off x="8505720" y="696600"/>
        <a:ext cx="7919280" cy="495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2"/>
    <col collapsed="false" customWidth="true" hidden="false" outlineLevel="0" max="4" min="4" style="1" width="36"/>
    <col collapsed="false" customWidth="true" hidden="false" outlineLevel="0" max="5" min="5" style="1" width="3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23.25" hidden="false" customHeight="true" outlineLevel="0" collapsed="false">
      <c r="A5" s="5" t="s">
        <v>7</v>
      </c>
      <c r="B5" s="6" t="n">
        <v>4402</v>
      </c>
      <c r="C5" s="7"/>
      <c r="D5" s="8" t="s">
        <v>8</v>
      </c>
      <c r="E5" s="9" t="s">
        <v>9</v>
      </c>
    </row>
    <row r="6" customFormat="false" ht="23.25" hidden="false" customHeight="true" outlineLevel="0" collapsed="false">
      <c r="A6" s="5" t="s">
        <v>10</v>
      </c>
      <c r="B6" s="6" t="n">
        <v>5602</v>
      </c>
      <c r="C6" s="10" t="n">
        <f aca="false">(B6-B5)/B5</f>
        <v>0.272603362108133</v>
      </c>
      <c r="D6" s="11" t="s">
        <v>11</v>
      </c>
      <c r="E6" s="9" t="s">
        <v>12</v>
      </c>
    </row>
    <row r="7" customFormat="false" ht="23.25" hidden="false" customHeight="true" outlineLevel="0" collapsed="false">
      <c r="A7" s="5" t="s">
        <v>13</v>
      </c>
      <c r="B7" s="6" t="n">
        <v>5907</v>
      </c>
      <c r="C7" s="10" t="n">
        <f aca="false">(B7-B6)/B6</f>
        <v>0.0544448411281685</v>
      </c>
      <c r="D7" s="8" t="s">
        <v>14</v>
      </c>
      <c r="E7" s="9" t="s">
        <v>15</v>
      </c>
    </row>
    <row r="8" customFormat="false" ht="23.25" hidden="false" customHeight="true" outlineLevel="0" collapsed="false">
      <c r="A8" s="5" t="s">
        <v>16</v>
      </c>
      <c r="B8" s="6" t="n">
        <v>5353</v>
      </c>
      <c r="C8" s="10" t="n">
        <f aca="false">(B8-B7)/B7</f>
        <v>-0.0937870323345184</v>
      </c>
      <c r="D8" s="11" t="s">
        <v>17</v>
      </c>
      <c r="E8" s="9" t="s">
        <v>18</v>
      </c>
    </row>
    <row r="9" customFormat="false" ht="23.25" hidden="false" customHeight="true" outlineLevel="0" collapsed="false">
      <c r="A9" s="12" t="s">
        <v>19</v>
      </c>
      <c r="B9" s="13" t="n">
        <v>1725</v>
      </c>
      <c r="C9" s="14" t="n">
        <f aca="false">(B9-B8)/B8</f>
        <v>-0.677750793947319</v>
      </c>
      <c r="D9" s="15" t="s">
        <v>20</v>
      </c>
      <c r="E9" s="16" t="s">
        <v>21</v>
      </c>
    </row>
    <row r="10" customFormat="false" ht="23.25" hidden="false" customHeight="true" outlineLevel="0" collapsed="false">
      <c r="A10" s="5" t="s">
        <v>22</v>
      </c>
      <c r="B10" s="6" t="n">
        <v>9375</v>
      </c>
      <c r="C10" s="10" t="n">
        <f aca="false">(B10-B9)/B9</f>
        <v>4.43478260869565</v>
      </c>
      <c r="D10" s="8" t="s">
        <v>23</v>
      </c>
      <c r="E10" s="9" t="s">
        <v>24</v>
      </c>
    </row>
    <row r="11" customFormat="false" ht="23.25" hidden="false" customHeight="true" outlineLevel="0" collapsed="false">
      <c r="A11" s="17" t="s">
        <v>25</v>
      </c>
      <c r="B11" s="18" t="n">
        <v>11806</v>
      </c>
      <c r="C11" s="19" t="n">
        <f aca="false">(B11-B10)/B10</f>
        <v>0.259306666666667</v>
      </c>
      <c r="D11" s="20" t="s">
        <v>26</v>
      </c>
      <c r="E11" s="21" t="s">
        <v>27</v>
      </c>
    </row>
    <row r="12" customFormat="false" ht="23.25" hidden="false" customHeight="true" outlineLevel="0" collapsed="false">
      <c r="A12" s="5" t="s">
        <v>28</v>
      </c>
      <c r="B12" s="6" t="n">
        <v>9640</v>
      </c>
      <c r="C12" s="10" t="n">
        <f aca="false">(B12-B11)/B11</f>
        <v>-0.183466034219888</v>
      </c>
      <c r="D12" s="8" t="s">
        <v>29</v>
      </c>
      <c r="E12" s="9" t="s">
        <v>27</v>
      </c>
    </row>
    <row r="13" customFormat="false" ht="23.25" hidden="false" customHeight="true" outlineLevel="0" collapsed="false">
      <c r="A13" s="5" t="s">
        <v>30</v>
      </c>
      <c r="B13" s="6" t="n">
        <v>9507</v>
      </c>
      <c r="C13" s="10" t="n">
        <f aca="false">(B13-B12)/B12</f>
        <v>-0.0137966804979253</v>
      </c>
      <c r="D13" s="8" t="s">
        <v>31</v>
      </c>
      <c r="E13" s="9" t="s">
        <v>27</v>
      </c>
    </row>
    <row r="14" customFormat="false" ht="23.25" hidden="false" customHeight="true" outlineLevel="0" collapsed="false">
      <c r="A14" s="5" t="s">
        <v>32</v>
      </c>
      <c r="B14" s="6" t="n">
        <v>8004</v>
      </c>
      <c r="C14" s="10" t="n">
        <f aca="false">(B14-B13)/B13</f>
        <v>-0.158094035973493</v>
      </c>
      <c r="D14" s="11" t="s">
        <v>33</v>
      </c>
      <c r="E14" s="9" t="s">
        <v>34</v>
      </c>
    </row>
    <row r="16" customFormat="false" ht="12.75" hidden="false" customHeight="true" outlineLevel="0" collapsed="false">
      <c r="A16" s="22" t="s">
        <v>35</v>
      </c>
      <c r="B16" s="22"/>
      <c r="C16" s="22"/>
      <c r="D16" s="22"/>
      <c r="E16" s="22"/>
    </row>
  </sheetData>
  <mergeCells count="3">
    <mergeCell ref="A1:E1"/>
    <mergeCell ref="A2:E2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45"/>
    <col collapsed="false" customWidth="true" hidden="false" outlineLevel="0" max="6" min="6" style="1" width="20"/>
  </cols>
  <sheetData>
    <row r="1" customFormat="false" ht="18.75" hidden="false" customHeight="true" outlineLevel="0" collapsed="false">
      <c r="A1" s="23" t="s">
        <v>36</v>
      </c>
      <c r="B1" s="23"/>
      <c r="C1" s="23"/>
      <c r="D1" s="23"/>
      <c r="E1" s="23"/>
      <c r="F1" s="23"/>
    </row>
    <row r="3" customFormat="false" ht="15" hidden="false" customHeight="true" outlineLevel="0" collapsed="false">
      <c r="A3" s="4" t="s">
        <v>37</v>
      </c>
      <c r="B3" s="24" t="s">
        <v>38</v>
      </c>
      <c r="C3" s="24" t="s">
        <v>39</v>
      </c>
      <c r="D3" s="24" t="s">
        <v>40</v>
      </c>
      <c r="E3" s="4" t="s">
        <v>41</v>
      </c>
      <c r="F3" s="4" t="s">
        <v>5</v>
      </c>
    </row>
    <row r="4" customFormat="false" ht="15" hidden="false" customHeight="true" outlineLevel="0" collapsed="false">
      <c r="A4" s="25" t="s">
        <v>42</v>
      </c>
      <c r="B4" s="26" t="n">
        <v>11807</v>
      </c>
      <c r="C4" s="26" t="n">
        <v>9640</v>
      </c>
      <c r="D4" s="26" t="n">
        <v>9507</v>
      </c>
      <c r="E4" s="10" t="n">
        <f aca="false">(D4-C4)/C4</f>
        <v>-0.0137966804979253</v>
      </c>
      <c r="F4" s="25" t="s">
        <v>43</v>
      </c>
    </row>
    <row r="5" customFormat="false" ht="15" hidden="false" customHeight="true" outlineLevel="0" collapsed="false">
      <c r="A5" s="27" t="s">
        <v>44</v>
      </c>
      <c r="B5" s="26" t="n">
        <v>1945</v>
      </c>
      <c r="C5" s="26" t="n">
        <v>2388</v>
      </c>
      <c r="D5" s="26" t="n">
        <v>1986</v>
      </c>
      <c r="E5" s="10" t="n">
        <f aca="false">(D5-C5)/C5</f>
        <v>-0.168341708542714</v>
      </c>
      <c r="F5" s="27" t="s">
        <v>45</v>
      </c>
    </row>
    <row r="6" customFormat="false" ht="15" hidden="false" customHeight="true" outlineLevel="0" collapsed="false">
      <c r="A6" s="27" t="s">
        <v>46</v>
      </c>
      <c r="B6" s="26" t="n">
        <v>2485</v>
      </c>
      <c r="C6" s="26" t="n">
        <v>1472</v>
      </c>
      <c r="D6" s="26" t="n">
        <v>1243</v>
      </c>
      <c r="E6" s="10" t="n">
        <f aca="false">(D6-C6)/C6</f>
        <v>-0.155570652173913</v>
      </c>
      <c r="F6" s="27" t="s">
        <v>47</v>
      </c>
    </row>
    <row r="8" customFormat="false" ht="15" hidden="false" customHeight="true" outlineLevel="0" collapsed="false">
      <c r="A8" s="28" t="s">
        <v>48</v>
      </c>
      <c r="B8" s="28"/>
      <c r="C8" s="28"/>
      <c r="D8" s="28"/>
      <c r="E8" s="28"/>
      <c r="F8" s="28"/>
    </row>
    <row r="9" customFormat="false" ht="15" hidden="false" customHeight="true" outlineLevel="0" collapsed="false">
      <c r="A9" s="29" t="s">
        <v>49</v>
      </c>
      <c r="B9" s="29" t="s">
        <v>50</v>
      </c>
      <c r="C9" s="29" t="s">
        <v>51</v>
      </c>
      <c r="D9" s="29" t="s">
        <v>5</v>
      </c>
    </row>
    <row r="10" customFormat="false" ht="15" hidden="false" customHeight="true" outlineLevel="0" collapsed="false">
      <c r="A10" s="27" t="s">
        <v>52</v>
      </c>
      <c r="B10" s="26" t="n">
        <v>5964</v>
      </c>
      <c r="C10" s="30" t="n">
        <f aca="false">B10/B15</f>
        <v>0.339906531403169</v>
      </c>
      <c r="D10" s="25" t="s">
        <v>53</v>
      </c>
    </row>
    <row r="11" customFormat="false" ht="15" hidden="false" customHeight="true" outlineLevel="0" collapsed="false">
      <c r="A11" s="25" t="s">
        <v>54</v>
      </c>
      <c r="B11" s="26" t="n">
        <v>2683</v>
      </c>
      <c r="C11" s="30" t="n">
        <f aca="false">B11/B15</f>
        <v>0.152912344693947</v>
      </c>
      <c r="D11" s="25" t="s">
        <v>55</v>
      </c>
    </row>
    <row r="12" customFormat="false" ht="15" hidden="false" customHeight="true" outlineLevel="0" collapsed="false">
      <c r="A12" s="25" t="s">
        <v>56</v>
      </c>
      <c r="B12" s="26" t="n">
        <v>4236</v>
      </c>
      <c r="C12" s="30" t="n">
        <f aca="false">B12/B15</f>
        <v>0.241422546449333</v>
      </c>
      <c r="D12" s="27" t="s">
        <v>57</v>
      </c>
    </row>
    <row r="13" customFormat="false" ht="15" hidden="false" customHeight="true" outlineLevel="0" collapsed="false">
      <c r="A13" s="25" t="s">
        <v>58</v>
      </c>
      <c r="B13" s="26" t="n">
        <v>2839</v>
      </c>
      <c r="C13" s="30" t="n">
        <f aca="false">B13/B15</f>
        <v>0.16180326000228</v>
      </c>
      <c r="D13" s="27" t="s">
        <v>59</v>
      </c>
    </row>
    <row r="14" customFormat="false" ht="15" hidden="false" customHeight="true" outlineLevel="0" collapsed="false">
      <c r="A14" s="25" t="s">
        <v>60</v>
      </c>
      <c r="B14" s="26" t="n">
        <v>1824</v>
      </c>
      <c r="C14" s="30" t="n">
        <f aca="false">B14/B15</f>
        <v>0.103955317451271</v>
      </c>
      <c r="D14" s="27" t="s">
        <v>61</v>
      </c>
    </row>
    <row r="15" customFormat="false" ht="15" hidden="false" customHeight="true" outlineLevel="0" collapsed="false">
      <c r="A15" s="31" t="s">
        <v>62</v>
      </c>
      <c r="B15" s="32" t="n">
        <f aca="false">SUM(B10:B14)</f>
        <v>17546</v>
      </c>
      <c r="C15" s="33" t="s">
        <v>63</v>
      </c>
    </row>
    <row r="17" customFormat="false" ht="13.5" hidden="false" customHeight="true" outlineLevel="0" collapsed="false">
      <c r="A17" s="34" t="s">
        <v>64</v>
      </c>
      <c r="B17" s="34"/>
      <c r="C17" s="34"/>
      <c r="D17" s="34"/>
      <c r="E17" s="34"/>
      <c r="F17" s="34"/>
    </row>
    <row r="18" customFormat="false" ht="12.75" hidden="false" customHeight="true" outlineLevel="0" collapsed="false">
      <c r="A18" s="35" t="s">
        <v>65</v>
      </c>
      <c r="B18" s="35"/>
      <c r="C18" s="35"/>
      <c r="D18" s="35"/>
      <c r="E18" s="35"/>
      <c r="F18" s="35"/>
    </row>
  </sheetData>
  <mergeCells count="4">
    <mergeCell ref="A1:F1"/>
    <mergeCell ref="A8:F8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0"/>
  </cols>
  <sheetData>
    <row r="1" customFormat="false" ht="15" hidden="false" customHeight="true" outlineLevel="0" collapsed="false">
      <c r="A1" s="36" t="s">
        <v>66</v>
      </c>
    </row>
    <row r="2" customFormat="false" ht="15" hidden="false" customHeight="true" outlineLevel="0" collapsed="false">
      <c r="A2" s="37" t="s">
        <v>67</v>
      </c>
    </row>
    <row r="3" customFormat="false" ht="15" hidden="false" customHeight="true" outlineLevel="0" collapsed="false">
      <c r="A3" s="38"/>
    </row>
    <row r="4" customFormat="false" ht="15" hidden="false" customHeight="true" outlineLevel="0" collapsed="false">
      <c r="A4" s="39" t="s">
        <v>68</v>
      </c>
    </row>
    <row r="5" customFormat="false" ht="29.25" hidden="false" customHeight="true" outlineLevel="0" collapsed="false">
      <c r="A5" s="38" t="s">
        <v>69</v>
      </c>
    </row>
    <row r="6" customFormat="false" ht="15" hidden="false" customHeight="true" outlineLevel="0" collapsed="false">
      <c r="A6" s="40" t="s">
        <v>70</v>
      </c>
    </row>
    <row r="7" customFormat="false" ht="15" hidden="false" customHeight="true" outlineLevel="0" collapsed="false">
      <c r="A7" s="37" t="s">
        <v>71</v>
      </c>
    </row>
    <row r="8" customFormat="false" ht="15" hidden="false" customHeight="true" outlineLevel="0" collapsed="false">
      <c r="A8" s="38"/>
    </row>
    <row r="9" customFormat="false" ht="15" hidden="false" customHeight="true" outlineLevel="0" collapsed="false">
      <c r="A9" s="41" t="s">
        <v>72</v>
      </c>
    </row>
    <row r="10" customFormat="false" ht="15" hidden="false" customHeight="true" outlineLevel="0" collapsed="false">
      <c r="A10" s="38" t="s">
        <v>73</v>
      </c>
    </row>
    <row r="11" customFormat="false" ht="15" hidden="false" customHeight="true" outlineLevel="0" collapsed="false">
      <c r="A11" s="37" t="s">
        <v>74</v>
      </c>
    </row>
    <row r="12" customFormat="false" ht="15" hidden="false" customHeight="true" outlineLevel="0" collapsed="false">
      <c r="A12" s="38"/>
    </row>
    <row r="13" customFormat="false" ht="15" hidden="false" customHeight="true" outlineLevel="0" collapsed="false">
      <c r="A13" s="41" t="s">
        <v>75</v>
      </c>
    </row>
    <row r="14" customFormat="false" ht="15" hidden="false" customHeight="true" outlineLevel="0" collapsed="false">
      <c r="A14" s="40" t="s">
        <v>76</v>
      </c>
    </row>
    <row r="15" customFormat="false" ht="15" hidden="false" customHeight="true" outlineLevel="0" collapsed="false">
      <c r="A15" s="40" t="s">
        <v>77</v>
      </c>
    </row>
    <row r="16" customFormat="false" ht="15" hidden="false" customHeight="true" outlineLevel="0" collapsed="false">
      <c r="A16" s="37" t="s">
        <v>78</v>
      </c>
    </row>
    <row r="17" customFormat="false" ht="15" hidden="false" customHeight="true" outlineLevel="0" collapsed="false">
      <c r="A17" s="38"/>
    </row>
    <row r="18" customFormat="false" ht="15" hidden="false" customHeight="true" outlineLevel="0" collapsed="false">
      <c r="A18" s="41" t="s">
        <v>79</v>
      </c>
    </row>
    <row r="19" customFormat="false" ht="15" hidden="false" customHeight="true" outlineLevel="0" collapsed="false">
      <c r="A19" s="38" t="s">
        <v>80</v>
      </c>
    </row>
    <row r="20" customFormat="false" ht="15" hidden="false" customHeight="true" outlineLevel="0" collapsed="false">
      <c r="A20" s="37" t="s">
        <v>81</v>
      </c>
    </row>
    <row r="21" customFormat="false" ht="15" hidden="false" customHeight="false" outlineLevel="0" collapsed="false">
      <c r="A21" s="38"/>
    </row>
    <row r="22" customFormat="false" ht="15" hidden="false" customHeight="false" outlineLevel="0" collapsed="false">
      <c r="A22" s="39" t="s">
        <v>82</v>
      </c>
    </row>
    <row r="23" customFormat="false" ht="15" hidden="false" customHeight="false" outlineLevel="0" collapsed="false">
      <c r="A23" s="38" t="s">
        <v>83</v>
      </c>
    </row>
    <row r="24" customFormat="false" ht="15" hidden="false" customHeight="false" outlineLevel="0" collapsed="false">
      <c r="A24" s="42" t="s">
        <v>84</v>
      </c>
    </row>
    <row r="25" customFormat="false" ht="15" hidden="false" customHeight="false" outlineLevel="0" collapsed="false">
      <c r="A25" s="38" t="s">
        <v>85</v>
      </c>
    </row>
    <row r="26" customFormat="false" ht="15" hidden="false" customHeight="false" outlineLevel="0" collapsed="false">
      <c r="A26" s="38" t="s">
        <v>86</v>
      </c>
    </row>
    <row r="27" customFormat="false" ht="15" hidden="false" customHeight="false" outlineLevel="0" collapsed="false">
      <c r="A27" s="38" t="s">
        <v>87</v>
      </c>
    </row>
    <row r="28" customFormat="false" ht="15" hidden="false" customHeight="false" outlineLevel="0" collapsed="false">
      <c r="A28" s="43" t="s">
        <v>88</v>
      </c>
    </row>
    <row r="29" customFormat="false" ht="15" hidden="false" customHeight="false" outlineLevel="0" collapsed="false">
      <c r="A29" s="38"/>
    </row>
    <row r="30" customFormat="false" ht="15" hidden="false" customHeight="false" outlineLevel="0" collapsed="false">
      <c r="A30" s="44" t="s">
        <v>89</v>
      </c>
    </row>
    <row r="31" customFormat="false" ht="15" hidden="false" customHeight="false" outlineLevel="0" collapsed="false">
      <c r="A31" s="45" t="s">
        <v>90</v>
      </c>
    </row>
    <row r="32" customFormat="false" ht="15" hidden="false" customHeight="false" outlineLevel="0" collapsed="false">
      <c r="A32" s="46" t="s">
        <v>91</v>
      </c>
    </row>
    <row r="33" customFormat="false" ht="15" hidden="false" customHeight="false" outlineLevel="0" collapsed="false">
      <c r="A33" s="43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2026-06-14T03:08:37Z</dcterms:created>
  <dc:creator>openpyxl</dc:creator>
  <dc:description/>
  <dc:language>en-US</dc:language>
  <cp:lastModifiedBy/>
  <dcterms:modified xsi:type="dcterms:W3CDTF">2026-06-14T08:10:38Z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